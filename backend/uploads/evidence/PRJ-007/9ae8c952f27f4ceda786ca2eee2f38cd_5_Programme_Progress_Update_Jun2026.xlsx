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Report" sheetId="1" state="visible" r:id="rId3"/>
    <sheet name="Evidence Ass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<sst xmlns="http://schemas.openxmlformats.org/spreadsheetml/2006/main" count="87" uniqueCount="58">
  <si>
    <t xml:space="preserve">Hyderabad Water Programme: June 2026 Progress Update</t>
  </si>
  <si>
    <t xml:space="preserve">Includes trend comparison against August 2026 (Report 1)</t>
  </si>
  <si>
    <t xml:space="preserve">Blue = value taken from the source document; Black = calculated by formula.</t>
  </si>
  <si>
    <t xml:space="preserve">Metric</t>
  </si>
  <si>
    <t xml:space="preserve">Value</t>
  </si>
  <si>
    <t xml:space="preserve">Unit</t>
  </si>
  <si>
    <t xml:space="preserve">Remarks / Basis</t>
  </si>
  <si>
    <t xml:space="preserve">June 2026 position</t>
  </si>
  <si>
    <t xml:space="preserve">Pipeline network completed</t>
  </si>
  <si>
    <t xml:space="preserve">km</t>
  </si>
  <si>
    <t xml:space="preserve">Source update</t>
  </si>
  <si>
    <t xml:space="preserve">Household connections</t>
  </si>
  <si>
    <t xml:space="preserve">households</t>
  </si>
  <si>
    <t xml:space="preserve">People covered</t>
  </si>
  <si>
    <t xml:space="preserve">people</t>
  </si>
  <si>
    <t xml:space="preserve">Major milestones completed</t>
  </si>
  <si>
    <t xml:space="preserve">of 20</t>
  </si>
  <si>
    <t xml:space="preserve">Overall physical progress</t>
  </si>
  <si>
    <t xml:space="preserve">%</t>
  </si>
  <si>
    <t xml:space="preserve">Expected progress</t>
  </si>
  <si>
    <t xml:space="preserve">Progress gap (actual – expected)</t>
  </si>
  <si>
    <t xml:space="preserve">% pts</t>
  </si>
  <si>
    <t xml:space="preserve">Behind schedule if negative</t>
  </si>
  <si>
    <t xml:space="preserve">People per connected household</t>
  </si>
  <si>
    <t xml:space="preserve">Calculated</t>
  </si>
  <si>
    <t xml:space="preserve">Contracted target</t>
  </si>
  <si>
    <t xml:space="preserve">Assumption: from Report 1</t>
  </si>
  <si>
    <t xml:space="preserve">Pipeline as % of target</t>
  </si>
  <si>
    <t xml:space="preserve">Trend: June → August 2026 (August values from Report 1)</t>
  </si>
  <si>
    <t xml:space="preserve">August pipeline completed</t>
  </si>
  <si>
    <t xml:space="preserve">Cross-reference to Report 1</t>
  </si>
  <si>
    <t xml:space="preserve">Pipeline added</t>
  </si>
  <si>
    <t xml:space="preserve">2 months</t>
  </si>
  <si>
    <t xml:space="preserve">August household connections</t>
  </si>
  <si>
    <t xml:space="preserve">Connections added</t>
  </si>
  <si>
    <t xml:space="preserve">August people covered</t>
  </si>
  <si>
    <t xml:space="preserve">People added</t>
  </si>
  <si>
    <t xml:space="preserve">August milestones completed</t>
  </si>
  <si>
    <t xml:space="preserve">Milestones added</t>
  </si>
  <si>
    <t xml:space="preserve">milestones</t>
  </si>
  <si>
    <t xml:space="preserve">August overall physical progress</t>
  </si>
  <si>
    <t xml:space="preserve">Progress change</t>
  </si>
  <si>
    <t xml:space="preserve">Average pipeline added per month</t>
  </si>
  <si>
    <t xml:space="preserve">km/month</t>
  </si>
  <si>
    <t xml:space="preserve">Evidence Association</t>
  </si>
  <si>
    <t xml:space="preserve">Associated indicator</t>
  </si>
  <si>
    <t xml:space="preserve">Confidence</t>
  </si>
  <si>
    <t xml:space="preserve">Evidence type</t>
  </si>
  <si>
    <t xml:space="preserve">Source document</t>
  </si>
  <si>
    <t xml:space="preserve">Reported value</t>
  </si>
  <si>
    <t xml:space="preserve">Notes</t>
  </si>
  <si>
    <t xml:space="preserve">report</t>
  </si>
  <si>
    <t xml:space="preserve">Hyderabad Water Programme – June 2026 Progress Update</t>
  </si>
  <si>
    <t xml:space="preserve">275 km</t>
  </si>
  <si>
    <t xml:space="preserve">Historical baseline for trend analysis.</t>
  </si>
  <si>
    <t xml:space="preserve">Notes &amp; assumptions</t>
  </si>
  <si>
    <t xml:space="preserve">1. Confidence and evidence type supplied by user (90, report).</t>
  </si>
  <si>
    <t xml:space="preserve">2. Assumption: 500 km contracted target taken from the Monitoring Cell report (Report 1).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</si>
</sst>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km&quot;"/>
    <numFmt numFmtId="166" formatCode="#,##0"/>
    <numFmt numFmtId="167" formatCode="0%"/>
    <numFmt numFmtId="168" formatCode="\+0.0%;\-0.0%;0.0%"/>
    <numFmt numFmtId="169" formatCode="0.00"/>
    <numFmt numFmtId="170" formatCode="0.0%"/>
    <numFmt numFmtId="171" formatCode="\+#,##0;\-#,##0;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 t="n">
        <v>275</v>
      </c>
      <c r="C7" s="7" t="s">
        <v>9</v>
      </c>
      <c r="D7" s="9" t="s">
        <v>10</v>
      </c>
    </row>
    <row r="8" customFormat="false" ht="15" hidden="false" customHeight="false" outlineLevel="0" collapsed="false">
      <c r="A8" s="7" t="s">
        <v>11</v>
      </c>
      <c r="B8" s="10" t="n">
        <v>42000</v>
      </c>
      <c r="C8" s="7" t="s">
        <v>12</v>
      </c>
      <c r="D8" s="9" t="s">
        <v>10</v>
      </c>
    </row>
    <row r="9" customFormat="false" ht="15" hidden="false" customHeight="false" outlineLevel="0" collapsed="false">
      <c r="A9" s="7" t="s">
        <v>13</v>
      </c>
      <c r="B9" s="10" t="n">
        <v>190000</v>
      </c>
      <c r="C9" s="7" t="s">
        <v>14</v>
      </c>
      <c r="D9" s="9" t="s">
        <v>10</v>
      </c>
    </row>
    <row r="10" customFormat="false" ht="15" hidden="false" customHeight="false" outlineLevel="0" collapsed="false">
      <c r="A10" s="7" t="s">
        <v>15</v>
      </c>
      <c r="B10" s="10" t="n">
        <v>12</v>
      </c>
      <c r="C10" s="7" t="s">
        <v>16</v>
      </c>
      <c r="D10" s="9" t="s">
        <v>10</v>
      </c>
    </row>
    <row r="11" customFormat="false" ht="15" hidden="false" customHeight="false" outlineLevel="0" collapsed="false">
      <c r="A11" s="7" t="s">
        <v>17</v>
      </c>
      <c r="B11" s="11" t="n">
        <v>0.57</v>
      </c>
      <c r="C11" s="7" t="s">
        <v>18</v>
      </c>
      <c r="D11" s="9" t="s">
        <v>10</v>
      </c>
    </row>
    <row r="12" customFormat="false" ht="15" hidden="false" customHeight="false" outlineLevel="0" collapsed="false">
      <c r="A12" s="7" t="s">
        <v>19</v>
      </c>
      <c r="B12" s="11" t="n">
        <v>0.68</v>
      </c>
      <c r="C12" s="7" t="s">
        <v>18</v>
      </c>
      <c r="D12" s="9" t="s">
        <v>10</v>
      </c>
    </row>
    <row r="13" customFormat="false" ht="15" hidden="false" customHeight="false" outlineLevel="0" collapsed="false">
      <c r="A13" s="7" t="s">
        <v>20</v>
      </c>
      <c r="B13" s="12" t="n">
        <f aca="false">B11-B12</f>
        <v>-0.11</v>
      </c>
      <c r="C13" s="7" t="s">
        <v>21</v>
      </c>
      <c r="D13" s="9" t="s">
        <v>22</v>
      </c>
    </row>
    <row r="14" customFormat="false" ht="15" hidden="false" customHeight="false" outlineLevel="0" collapsed="false">
      <c r="A14" s="7" t="s">
        <v>23</v>
      </c>
      <c r="B14" s="13" t="n">
        <f aca="false">B9/B8</f>
        <v>4.52380952380952</v>
      </c>
      <c r="C14" s="7" t="s">
        <v>14</v>
      </c>
      <c r="D14" s="9" t="s">
        <v>24</v>
      </c>
    </row>
    <row r="15" customFormat="false" ht="15" hidden="false" customHeight="false" outlineLevel="0" collapsed="false">
      <c r="A15" s="7" t="s">
        <v>25</v>
      </c>
      <c r="B15" s="8" t="n">
        <v>500</v>
      </c>
      <c r="C15" s="7" t="s">
        <v>9</v>
      </c>
      <c r="D15" s="9" t="s">
        <v>26</v>
      </c>
    </row>
    <row r="16" customFormat="false" ht="15" hidden="false" customHeight="false" outlineLevel="0" collapsed="false">
      <c r="A16" s="7" t="s">
        <v>27</v>
      </c>
      <c r="B16" s="14" t="n">
        <f aca="false">B7/B15</f>
        <v>0.55</v>
      </c>
      <c r="C16" s="7" t="s">
        <v>18</v>
      </c>
      <c r="D16" s="9" t="s">
        <v>24</v>
      </c>
    </row>
    <row r="17" customFormat="false" ht="15" hidden="false" customHeight="false" outlineLevel="0" collapsed="false">
      <c r="A17" s="5" t="s">
        <v>28</v>
      </c>
      <c r="B17" s="6"/>
      <c r="C17" s="6"/>
      <c r="D17" s="6"/>
    </row>
    <row r="18" customFormat="false" ht="15" hidden="false" customHeight="false" outlineLevel="0" collapsed="false">
      <c r="A18" s="7" t="s">
        <v>29</v>
      </c>
      <c r="B18" s="8" t="n">
        <v>318</v>
      </c>
      <c r="C18" s="7" t="s">
        <v>9</v>
      </c>
      <c r="D18" s="9" t="s">
        <v>30</v>
      </c>
    </row>
    <row r="19" customFormat="false" ht="15" hidden="false" customHeight="false" outlineLevel="0" collapsed="false">
      <c r="A19" s="7" t="s">
        <v>31</v>
      </c>
      <c r="B19" s="15" t="n">
        <f aca="false">B18-B7</f>
        <v>43</v>
      </c>
      <c r="C19" s="7" t="s">
        <v>9</v>
      </c>
      <c r="D19" s="9" t="s">
        <v>32</v>
      </c>
    </row>
    <row r="20" customFormat="false" ht="15" hidden="false" customHeight="false" outlineLevel="0" collapsed="false">
      <c r="A20" s="7" t="s">
        <v>33</v>
      </c>
      <c r="B20" s="10" t="n">
        <v>54000</v>
      </c>
      <c r="C20" s="7" t="s">
        <v>12</v>
      </c>
      <c r="D20" s="9" t="s">
        <v>30</v>
      </c>
    </row>
    <row r="21" customFormat="false" ht="15" hidden="false" customHeight="false" outlineLevel="0" collapsed="false">
      <c r="A21" s="7" t="s">
        <v>34</v>
      </c>
      <c r="B21" s="15" t="n">
        <f aca="false">B20-B8</f>
        <v>12000</v>
      </c>
      <c r="C21" s="7" t="s">
        <v>12</v>
      </c>
      <c r="D21" s="9" t="s">
        <v>32</v>
      </c>
    </row>
    <row r="22" customFormat="false" ht="15" hidden="false" customHeight="false" outlineLevel="0" collapsed="false">
      <c r="A22" s="7" t="s">
        <v>35</v>
      </c>
      <c r="B22" s="10" t="n">
        <v>243000</v>
      </c>
      <c r="C22" s="7" t="s">
        <v>14</v>
      </c>
      <c r="D22" s="9" t="s">
        <v>30</v>
      </c>
    </row>
    <row r="23" customFormat="false" ht="15" hidden="false" customHeight="false" outlineLevel="0" collapsed="false">
      <c r="A23" s="7" t="s">
        <v>36</v>
      </c>
      <c r="B23" s="15" t="n">
        <f aca="false">B22-B9</f>
        <v>53000</v>
      </c>
      <c r="C23" s="7" t="s">
        <v>14</v>
      </c>
      <c r="D23" s="9" t="s">
        <v>32</v>
      </c>
    </row>
    <row r="24" customFormat="false" ht="15" hidden="false" customHeight="false" outlineLevel="0" collapsed="false">
      <c r="A24" s="7" t="s">
        <v>37</v>
      </c>
      <c r="B24" s="10" t="n">
        <v>14</v>
      </c>
      <c r="C24" s="7" t="s">
        <v>16</v>
      </c>
      <c r="D24" s="9" t="s">
        <v>30</v>
      </c>
    </row>
    <row r="25" customFormat="false" ht="15" hidden="false" customHeight="false" outlineLevel="0" collapsed="false">
      <c r="A25" s="7" t="s">
        <v>38</v>
      </c>
      <c r="B25" s="15" t="n">
        <f aca="false">B24-B10</f>
        <v>2</v>
      </c>
      <c r="C25" s="7" t="s">
        <v>39</v>
      </c>
      <c r="D25" s="9" t="s">
        <v>32</v>
      </c>
    </row>
    <row r="26" customFormat="false" ht="15" hidden="false" customHeight="false" outlineLevel="0" collapsed="false">
      <c r="A26" s="7" t="s">
        <v>40</v>
      </c>
      <c r="B26" s="11" t="n">
        <v>0.64</v>
      </c>
      <c r="C26" s="7" t="s">
        <v>18</v>
      </c>
      <c r="D26" s="9" t="s">
        <v>30</v>
      </c>
    </row>
    <row r="27" customFormat="false" ht="15" hidden="false" customHeight="false" outlineLevel="0" collapsed="false">
      <c r="A27" s="7" t="s">
        <v>41</v>
      </c>
      <c r="B27" s="12" t="n">
        <f aca="false">B26-B11</f>
        <v>0.0700000000000001</v>
      </c>
      <c r="C27" s="7" t="s">
        <v>21</v>
      </c>
      <c r="D27" s="9" t="s">
        <v>24</v>
      </c>
    </row>
    <row r="28" customFormat="false" ht="15" hidden="false" customHeight="false" outlineLevel="0" collapsed="false">
      <c r="A28" s="7" t="s">
        <v>42</v>
      </c>
      <c r="B28" s="13" t="n">
        <f aca="false">B19/2</f>
        <v>21.5</v>
      </c>
      <c r="C28" s="7" t="s">
        <v>43</v>
      </c>
      <c r="D28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customFormat="false" ht="26.85" hidden="false" customHeight="false" outlineLevel="0" collapsed="false">
      <c r="A4" s="16" t="s">
        <v>8</v>
      </c>
      <c r="B4" s="17" t="n">
        <v>0.9</v>
      </c>
      <c r="C4" s="16" t="s">
        <v>51</v>
      </c>
      <c r="D4" s="16" t="s">
        <v>52</v>
      </c>
      <c r="E4" s="16" t="s">
        <v>53</v>
      </c>
      <c r="F4" s="16" t="s">
        <v>54</v>
      </c>
    </row>
    <row r="6" customFormat="false" ht="15" hidden="false" customHeight="false" outlineLevel="0" collapsed="false">
      <c r="A6" s="18" t="s">
        <v>55</v>
      </c>
    </row>
    <row r="7" customFormat="false" ht="15" hidden="false" customHeight="false" outlineLevel="0" collapsed="false">
      <c r="A7" s="19" t="s">
        <v>56</v>
      </c>
    </row>
    <row r="8" customFormat="false" ht="15" hidden="false" customHeight="false" outlineLevel="0" collapsed="false">
      <c r="A8" s="1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2026-09-29T23:55:57Z</dcterms:created>
  <dc:creator>openpyxl</dc:creator>
  <dc:description/>
  <dc:language>en-US</dc:language>
  <cp:lastModifiedBy/>
  <dcterms:modified xsi:type="dcterms:W3CDTF">2026-09-29T23:55:57Z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