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ess Report" sheetId="1" state="visible" r:id="rId3"/>
    <sheet name="Evidence Associ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<sst xmlns="http://schemas.openxmlformats.org/spreadsheetml/2006/main" count="71" uniqueCount="53">
  <si>
    <t xml:space="preserve">Household Beneficiary Survey</t>
  </si>
  <si>
    <t xml:space="preserve">Project: Hyderabad Urban Water Expansion – Phase II | Survey period: August–September 2026</t>
  </si>
  <si>
    <t xml:space="preserve">Blue = value taken from the source document; Black = calculated by formula.</t>
  </si>
  <si>
    <t xml:space="preserve">Metric</t>
  </si>
  <si>
    <t xml:space="preserve">Value</t>
  </si>
  <si>
    <t xml:space="preserve">Unit</t>
  </si>
  <si>
    <t xml:space="preserve">Remarks / Basis</t>
  </si>
  <si>
    <t xml:space="preserve">Sample</t>
  </si>
  <si>
    <t xml:space="preserve">Households surveyed</t>
  </si>
  <si>
    <t xml:space="preserve">households</t>
  </si>
  <si>
    <t xml:space="preserve">Survey</t>
  </si>
  <si>
    <t xml:space="preserve">Households reporting active water connection</t>
  </si>
  <si>
    <t xml:space="preserve">Active connection rate in sample</t>
  </si>
  <si>
    <t xml:space="preserve">%</t>
  </si>
  <si>
    <t xml:space="preserve">Calculated</t>
  </si>
  <si>
    <t xml:space="preserve">Households surveyed but not active</t>
  </si>
  <si>
    <t xml:space="preserve">Some connections installed but not yet operational</t>
  </si>
  <si>
    <t xml:space="preserve">Project-wide estimates</t>
  </si>
  <si>
    <t xml:space="preserve">Estimated households connected</t>
  </si>
  <si>
    <t xml:space="preserve">Survey estimate</t>
  </si>
  <si>
    <t xml:space="preserve">Household target</t>
  </si>
  <si>
    <t xml:space="preserve">Assumption: from Report 1</t>
  </si>
  <si>
    <t xml:space="preserve">Estimated % of target</t>
  </si>
  <si>
    <t xml:space="preserve">Sample as % of estimated connected households</t>
  </si>
  <si>
    <t xml:space="preserve">Estimated people with improved access</t>
  </si>
  <si>
    <t xml:space="preserve">people</t>
  </si>
  <si>
    <t xml:space="preserve">People per connected household</t>
  </si>
  <si>
    <t xml:space="preserve">Cross-check against other sources</t>
  </si>
  <si>
    <t xml:space="preserve">Monitoring Cell households</t>
  </si>
  <si>
    <t xml:space="preserve">Cross-reference to Report 1</t>
  </si>
  <si>
    <t xml:space="preserve">Survey estimate vs Monitoring Cell</t>
  </si>
  <si>
    <t xml:space="preserve">Survey counts operational connections only</t>
  </si>
  <si>
    <t xml:space="preserve">Field-verified households</t>
  </si>
  <si>
    <t xml:space="preserve">Cross-reference to Report 3</t>
  </si>
  <si>
    <t xml:space="preserve">Survey estimate vs Field verification</t>
  </si>
  <si>
    <t xml:space="preserve">Close agreement</t>
  </si>
  <si>
    <t xml:space="preserve">Survey confidence</t>
  </si>
  <si>
    <t xml:space="preserve">Evidence Association</t>
  </si>
  <si>
    <t xml:space="preserve">Associated indicator</t>
  </si>
  <si>
    <t xml:space="preserve">Confidence</t>
  </si>
  <si>
    <t xml:space="preserve">Evidence type</t>
  </si>
  <si>
    <t xml:space="preserve">Source document</t>
  </si>
  <si>
    <t xml:space="preserve">Reported value</t>
  </si>
  <si>
    <t xml:space="preserve">Notes</t>
  </si>
  <si>
    <t xml:space="preserve">Households connected</t>
  </si>
  <si>
    <t xml:space="preserve">survey</t>
  </si>
  <si>
    <t xml:space="preserve">Household Beneficiary Survey, Aug–Sep 2026</t>
  </si>
  <si>
    <t xml:space="preserve">50,400 households</t>
  </si>
  <si>
    <t xml:space="preserve">Survey-based estimate. Physically installed but non-operational connections may be excluded.</t>
  </si>
  <si>
    <t xml:space="preserve">Notes &amp; assumptions</t>
  </si>
  <si>
    <t xml:space="preserve">1. Confidence and evidence type supplied by user (81, survey).</t>
  </si>
  <si>
    <t xml:space="preserve">2. Assumption: 100,000-household target taken from the Monitoring Cell report (Report 1).</t>
  </si>
  <si>
    <t xml:space="preserve">3. Sample rate (59%) is not extrapolated; the 50,400 project-wide estimate is the survey's own figure.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</si>
</sst>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.00"/>
    <numFmt numFmtId="168" formatCode="\+#,##0;\-#,##0;0"/>
    <numFmt numFmtId="169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/>
      <c r="C6" s="6"/>
      <c r="D6" s="6"/>
    </row>
    <row r="7" customFormat="false" ht="15" hidden="false" customHeight="false" outlineLevel="0" collapsed="false">
      <c r="A7" s="7" t="s">
        <v>8</v>
      </c>
      <c r="B7" s="8" t="n">
        <v>8500</v>
      </c>
      <c r="C7" s="7" t="s">
        <v>9</v>
      </c>
      <c r="D7" s="9" t="s">
        <v>10</v>
      </c>
    </row>
    <row r="8" customFormat="false" ht="15" hidden="false" customHeight="false" outlineLevel="0" collapsed="false">
      <c r="A8" s="7" t="s">
        <v>11</v>
      </c>
      <c r="B8" s="8" t="n">
        <v>5020</v>
      </c>
      <c r="C8" s="7" t="s">
        <v>9</v>
      </c>
      <c r="D8" s="9" t="s">
        <v>10</v>
      </c>
    </row>
    <row r="9" customFormat="false" ht="15" hidden="false" customHeight="false" outlineLevel="0" collapsed="false">
      <c r="A9" s="7" t="s">
        <v>12</v>
      </c>
      <c r="B9" s="10" t="n">
        <f aca="false">B8/B7</f>
        <v>0.590588235294118</v>
      </c>
      <c r="C9" s="7" t="s">
        <v>13</v>
      </c>
      <c r="D9" s="9" t="s">
        <v>14</v>
      </c>
    </row>
    <row r="10" customFormat="false" ht="15" hidden="false" customHeight="false" outlineLevel="0" collapsed="false">
      <c r="A10" s="7" t="s">
        <v>15</v>
      </c>
      <c r="B10" s="11" t="n">
        <f aca="false">B7-B8</f>
        <v>3480</v>
      </c>
      <c r="C10" s="7" t="s">
        <v>9</v>
      </c>
      <c r="D10" s="9" t="s">
        <v>16</v>
      </c>
    </row>
    <row r="11" customFormat="false" ht="15" hidden="false" customHeight="false" outlineLevel="0" collapsed="false">
      <c r="A11" s="5" t="s">
        <v>17</v>
      </c>
      <c r="B11" s="6"/>
      <c r="C11" s="6"/>
      <c r="D11" s="6"/>
    </row>
    <row r="12" customFormat="false" ht="15" hidden="false" customHeight="false" outlineLevel="0" collapsed="false">
      <c r="A12" s="7" t="s">
        <v>18</v>
      </c>
      <c r="B12" s="8" t="n">
        <v>50400</v>
      </c>
      <c r="C12" s="7" t="s">
        <v>9</v>
      </c>
      <c r="D12" s="9" t="s">
        <v>19</v>
      </c>
    </row>
    <row r="13" customFormat="false" ht="15" hidden="false" customHeight="false" outlineLevel="0" collapsed="false">
      <c r="A13" s="7" t="s">
        <v>20</v>
      </c>
      <c r="B13" s="8" t="n">
        <v>100000</v>
      </c>
      <c r="C13" s="7" t="s">
        <v>9</v>
      </c>
      <c r="D13" s="9" t="s">
        <v>21</v>
      </c>
    </row>
    <row r="14" customFormat="false" ht="15" hidden="false" customHeight="false" outlineLevel="0" collapsed="false">
      <c r="A14" s="7" t="s">
        <v>22</v>
      </c>
      <c r="B14" s="10" t="n">
        <f aca="false">B12/B13</f>
        <v>0.504</v>
      </c>
      <c r="C14" s="7" t="s">
        <v>13</v>
      </c>
      <c r="D14" s="9" t="s">
        <v>14</v>
      </c>
    </row>
    <row r="15" customFormat="false" ht="15" hidden="false" customHeight="false" outlineLevel="0" collapsed="false">
      <c r="A15" s="7" t="s">
        <v>23</v>
      </c>
      <c r="B15" s="10" t="n">
        <f aca="false">B7/B12</f>
        <v>0.168650793650794</v>
      </c>
      <c r="C15" s="7" t="s">
        <v>13</v>
      </c>
      <c r="D15" s="9" t="s">
        <v>14</v>
      </c>
    </row>
    <row r="16" customFormat="false" ht="15" hidden="false" customHeight="false" outlineLevel="0" collapsed="false">
      <c r="A16" s="7" t="s">
        <v>24</v>
      </c>
      <c r="B16" s="8" t="n">
        <v>236000</v>
      </c>
      <c r="C16" s="7" t="s">
        <v>25</v>
      </c>
      <c r="D16" s="9" t="s">
        <v>19</v>
      </c>
    </row>
    <row r="17" customFormat="false" ht="15" hidden="false" customHeight="false" outlineLevel="0" collapsed="false">
      <c r="A17" s="7" t="s">
        <v>26</v>
      </c>
      <c r="B17" s="12" t="n">
        <f aca="false">B16/B12</f>
        <v>4.68253968253968</v>
      </c>
      <c r="C17" s="7" t="s">
        <v>25</v>
      </c>
      <c r="D17" s="9" t="s">
        <v>14</v>
      </c>
    </row>
    <row r="18" customFormat="false" ht="15" hidden="false" customHeight="false" outlineLevel="0" collapsed="false">
      <c r="A18" s="5" t="s">
        <v>27</v>
      </c>
      <c r="B18" s="6"/>
      <c r="C18" s="6"/>
      <c r="D18" s="6"/>
    </row>
    <row r="19" customFormat="false" ht="15" hidden="false" customHeight="false" outlineLevel="0" collapsed="false">
      <c r="A19" s="7" t="s">
        <v>28</v>
      </c>
      <c r="B19" s="8" t="n">
        <v>54000</v>
      </c>
      <c r="C19" s="7" t="s">
        <v>9</v>
      </c>
      <c r="D19" s="9" t="s">
        <v>29</v>
      </c>
    </row>
    <row r="20" customFormat="false" ht="15" hidden="false" customHeight="false" outlineLevel="0" collapsed="false">
      <c r="A20" s="7" t="s">
        <v>30</v>
      </c>
      <c r="B20" s="13" t="n">
        <f aca="false">B12-B19</f>
        <v>-3600</v>
      </c>
      <c r="C20" s="7" t="s">
        <v>9</v>
      </c>
      <c r="D20" s="9" t="s">
        <v>31</v>
      </c>
    </row>
    <row r="21" customFormat="false" ht="15" hidden="false" customHeight="false" outlineLevel="0" collapsed="false">
      <c r="A21" s="7" t="s">
        <v>32</v>
      </c>
      <c r="B21" s="8" t="n">
        <v>49600</v>
      </c>
      <c r="C21" s="7" t="s">
        <v>9</v>
      </c>
      <c r="D21" s="9" t="s">
        <v>33</v>
      </c>
    </row>
    <row r="22" customFormat="false" ht="15" hidden="false" customHeight="false" outlineLevel="0" collapsed="false">
      <c r="A22" s="7" t="s">
        <v>34</v>
      </c>
      <c r="B22" s="13" t="n">
        <f aca="false">B12-B21</f>
        <v>800</v>
      </c>
      <c r="C22" s="7" t="s">
        <v>9</v>
      </c>
      <c r="D22" s="9" t="s">
        <v>35</v>
      </c>
    </row>
    <row r="23" customFormat="false" ht="15" hidden="false" customHeight="false" outlineLevel="0" collapsed="false">
      <c r="A23" s="7" t="s">
        <v>36</v>
      </c>
      <c r="B23" s="14" t="n">
        <v>0.81</v>
      </c>
      <c r="C23" s="7" t="s">
        <v>13</v>
      </c>
      <c r="D23" s="9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2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37</v>
      </c>
    </row>
    <row r="3" customFormat="false" ht="15" hidden="false" customHeight="false" outlineLevel="0" collapsed="false">
      <c r="A3" s="4" t="s">
        <v>38</v>
      </c>
      <c r="B3" s="4" t="s">
        <v>39</v>
      </c>
      <c r="C3" s="4" t="s">
        <v>40</v>
      </c>
      <c r="D3" s="4" t="s">
        <v>41</v>
      </c>
      <c r="E3" s="4" t="s">
        <v>42</v>
      </c>
      <c r="F3" s="4" t="s">
        <v>43</v>
      </c>
    </row>
    <row r="4" customFormat="false" ht="26.85" hidden="false" customHeight="false" outlineLevel="0" collapsed="false">
      <c r="A4" s="15" t="s">
        <v>44</v>
      </c>
      <c r="B4" s="16" t="n">
        <v>0.81</v>
      </c>
      <c r="C4" s="15" t="s">
        <v>45</v>
      </c>
      <c r="D4" s="15" t="s">
        <v>46</v>
      </c>
      <c r="E4" s="15" t="s">
        <v>47</v>
      </c>
      <c r="F4" s="15" t="s">
        <v>48</v>
      </c>
    </row>
    <row r="6" customFormat="false" ht="15" hidden="false" customHeight="false" outlineLevel="0" collapsed="false">
      <c r="A6" s="17" t="s">
        <v>49</v>
      </c>
    </row>
    <row r="7" customFormat="false" ht="15" hidden="false" customHeight="false" outlineLevel="0" collapsed="false">
      <c r="A7" s="18" t="s">
        <v>50</v>
      </c>
    </row>
    <row r="8" customFormat="false" ht="15" hidden="false" customHeight="false" outlineLevel="0" collapsed="false">
      <c r="A8" s="18" t="s">
        <v>51</v>
      </c>
    </row>
    <row r="9" customFormat="false" ht="15" hidden="false" customHeight="false" outlineLevel="0" collapsed="false">
      <c r="A9" s="18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2026-09-29T23:55:57Z</dcterms:created>
  <dc:creator>openpyxl</dc:creator>
  <dc:description/>
  <dc:language>en-US</dc:language>
  <cp:lastModifiedBy/>
  <dcterms:modified xsi:type="dcterms:W3CDTF">2026-09-29T23:55:57Z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