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 Report" sheetId="1" state="visible" r:id="rId3"/>
    <sheet name="Evidence Associ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<sst xmlns="http://schemas.openxmlformats.org/spreadsheetml/2006/main" count="93" uniqueCount="59">
  <si>
    <t xml:space="preserve">Hyderabad Urban Water Expansion – Phase II: Monthly Progress Report</t>
  </si>
  <si>
    <t xml:space="preserve">Reporting period: August 2026 | Prepared by: Hyderabad Urban Water Programme Monitoring Cell</t>
  </si>
  <si>
    <t xml:space="preserve">Blue = value taken from the source document; Black = calculated by formula.</t>
  </si>
  <si>
    <t xml:space="preserve">Metric</t>
  </si>
  <si>
    <t xml:space="preserve">Value</t>
  </si>
  <si>
    <t xml:space="preserve">Unit</t>
  </si>
  <si>
    <t xml:space="preserve">Remarks / Basis</t>
  </si>
  <si>
    <t xml:space="preserve">Pipeline network</t>
  </si>
  <si>
    <t xml:space="preserve">Contracted target</t>
  </si>
  <si>
    <t xml:space="preserve">km</t>
  </si>
  <si>
    <t xml:space="preserve">Contract</t>
  </si>
  <si>
    <t xml:space="preserve">Completed as of 31 Aug 2026</t>
  </si>
  <si>
    <t xml:space="preserve">Source report</t>
  </si>
  <si>
    <t xml:space="preserve">Completed previous month</t>
  </si>
  <si>
    <t xml:space="preserve">Added during August</t>
  </si>
  <si>
    <t xml:space="preserve">Calculated</t>
  </si>
  <si>
    <t xml:space="preserve">Remaining</t>
  </si>
  <si>
    <t xml:space="preserve">% of target completed</t>
  </si>
  <si>
    <t xml:space="preserve">%</t>
  </si>
  <si>
    <t xml:space="preserve">Calculated (reported overall physical progress is 64%)</t>
  </si>
  <si>
    <t xml:space="preserve">Household connections</t>
  </si>
  <si>
    <t xml:space="preserve">Target</t>
  </si>
  <si>
    <t xml:space="preserve">households</t>
  </si>
  <si>
    <t xml:space="preserve">Connections completed</t>
  </si>
  <si>
    <t xml:space="preserve">% of target</t>
  </si>
  <si>
    <t xml:space="preserve">Beneficiary coverage</t>
  </si>
  <si>
    <t xml:space="preserve">Estimated people covered</t>
  </si>
  <si>
    <t xml:space="preserve">people</t>
  </si>
  <si>
    <t xml:space="preserve">People per connected household</t>
  </si>
  <si>
    <t xml:space="preserve">Milestones</t>
  </si>
  <si>
    <t xml:space="preserve">milestones</t>
  </si>
  <si>
    <t xml:space="preserve">Completed</t>
  </si>
  <si>
    <t xml:space="preserve">% completed</t>
  </si>
  <si>
    <t xml:space="preserve">Financial</t>
  </si>
  <si>
    <t xml:space="preserve">Approved project cost</t>
  </si>
  <si>
    <t xml:space="preserve">₹ crore</t>
  </si>
  <si>
    <t xml:space="preserve">Expenditure to date</t>
  </si>
  <si>
    <t xml:space="preserve">Financial utilisation</t>
  </si>
  <si>
    <t xml:space="preserve">Balance available</t>
  </si>
  <si>
    <t xml:space="preserve">Overall progress</t>
  </si>
  <si>
    <t xml:space="preserve">Overall physical progress</t>
  </si>
  <si>
    <t xml:space="preserve">Expected progress</t>
  </si>
  <si>
    <t xml:space="preserve">Progress gap (actual – expected)</t>
  </si>
  <si>
    <t xml:space="preserve">% pts</t>
  </si>
  <si>
    <t xml:space="preserve">Behind schedule if negative</t>
  </si>
  <si>
    <t xml:space="preserve">Evidence Association</t>
  </si>
  <si>
    <t xml:space="preserve">Associated indicator</t>
  </si>
  <si>
    <t xml:space="preserve">Confidence</t>
  </si>
  <si>
    <t xml:space="preserve">Evidence type</t>
  </si>
  <si>
    <t xml:space="preserve">Source document</t>
  </si>
  <si>
    <t xml:space="preserve">Reported value</t>
  </si>
  <si>
    <t xml:space="preserve">Notes</t>
  </si>
  <si>
    <t xml:space="preserve">Pipeline network completed</t>
  </si>
  <si>
    <t xml:space="preserve">report</t>
  </si>
  <si>
    <t xml:space="preserve">Monthly Progress Report, Aug 2026 (Monitoring Cell)</t>
  </si>
  <si>
    <t xml:space="preserve">318 km</t>
  </si>
  <si>
    <t xml:space="preserve">Evidence type not stated in source; 'report' assumed. Highest-level official figure.</t>
  </si>
  <si>
    <t xml:space="preserve">Notes &amp; assumptions</t>
  </si>
  <si>
    <t xml:space="preserve">1. Confidence supplied by user (92).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</si>
</sst>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km&quot;"/>
    <numFmt numFmtId="166" formatCode="0.0%"/>
    <numFmt numFmtId="167" formatCode="#,##0"/>
    <numFmt numFmtId="168" formatCode="0.00"/>
    <numFmt numFmtId="169" formatCode="0%"/>
    <numFmt numFmtId="170" formatCode="\+0.0%;\-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6"/>
    </row>
    <row r="7" customFormat="false" ht="15" hidden="false" customHeight="false" outlineLevel="0" collapsed="false">
      <c r="A7" s="7" t="s">
        <v>8</v>
      </c>
      <c r="B7" s="8" t="n">
        <v>500</v>
      </c>
      <c r="C7" s="7" t="s">
        <v>9</v>
      </c>
      <c r="D7" s="9" t="s">
        <v>10</v>
      </c>
    </row>
    <row r="8" customFormat="false" ht="15" hidden="false" customHeight="false" outlineLevel="0" collapsed="false">
      <c r="A8" s="7" t="s">
        <v>11</v>
      </c>
      <c r="B8" s="8" t="n">
        <v>318</v>
      </c>
      <c r="C8" s="7" t="s">
        <v>9</v>
      </c>
      <c r="D8" s="9" t="s">
        <v>12</v>
      </c>
    </row>
    <row r="9" customFormat="false" ht="15" hidden="false" customHeight="false" outlineLevel="0" collapsed="false">
      <c r="A9" s="7" t="s">
        <v>13</v>
      </c>
      <c r="B9" s="8" t="n">
        <v>301</v>
      </c>
      <c r="C9" s="7" t="s">
        <v>9</v>
      </c>
      <c r="D9" s="9" t="s">
        <v>12</v>
      </c>
    </row>
    <row r="10" customFormat="false" ht="15" hidden="false" customHeight="false" outlineLevel="0" collapsed="false">
      <c r="A10" s="7" t="s">
        <v>14</v>
      </c>
      <c r="B10" s="10" t="n">
        <f aca="false">B8-B9</f>
        <v>17</v>
      </c>
      <c r="C10" s="7" t="s">
        <v>9</v>
      </c>
      <c r="D10" s="9" t="s">
        <v>15</v>
      </c>
    </row>
    <row r="11" customFormat="false" ht="15" hidden="false" customHeight="false" outlineLevel="0" collapsed="false">
      <c r="A11" s="7" t="s">
        <v>16</v>
      </c>
      <c r="B11" s="10" t="n">
        <f aca="false">B7-B8</f>
        <v>182</v>
      </c>
      <c r="C11" s="7" t="s">
        <v>9</v>
      </c>
      <c r="D11" s="9" t="s">
        <v>15</v>
      </c>
    </row>
    <row r="12" customFormat="false" ht="15" hidden="false" customHeight="false" outlineLevel="0" collapsed="false">
      <c r="A12" s="7" t="s">
        <v>17</v>
      </c>
      <c r="B12" s="11" t="n">
        <f aca="false">B8/B7</f>
        <v>0.636</v>
      </c>
      <c r="C12" s="7" t="s">
        <v>18</v>
      </c>
      <c r="D12" s="9" t="s">
        <v>19</v>
      </c>
    </row>
    <row r="13" customFormat="false" ht="15" hidden="false" customHeight="false" outlineLevel="0" collapsed="false">
      <c r="A13" s="5" t="s">
        <v>20</v>
      </c>
      <c r="B13" s="6"/>
      <c r="C13" s="6"/>
      <c r="D13" s="6"/>
    </row>
    <row r="14" customFormat="false" ht="15" hidden="false" customHeight="false" outlineLevel="0" collapsed="false">
      <c r="A14" s="7" t="s">
        <v>21</v>
      </c>
      <c r="B14" s="12" t="n">
        <v>100000</v>
      </c>
      <c r="C14" s="7" t="s">
        <v>22</v>
      </c>
      <c r="D14" s="9" t="s">
        <v>12</v>
      </c>
    </row>
    <row r="15" customFormat="false" ht="15" hidden="false" customHeight="false" outlineLevel="0" collapsed="false">
      <c r="A15" s="7" t="s">
        <v>23</v>
      </c>
      <c r="B15" s="12" t="n">
        <v>54000</v>
      </c>
      <c r="C15" s="7" t="s">
        <v>22</v>
      </c>
      <c r="D15" s="9" t="s">
        <v>12</v>
      </c>
    </row>
    <row r="16" customFormat="false" ht="15" hidden="false" customHeight="false" outlineLevel="0" collapsed="false">
      <c r="A16" s="7" t="s">
        <v>24</v>
      </c>
      <c r="B16" s="11" t="n">
        <f aca="false">B15/B14</f>
        <v>0.54</v>
      </c>
      <c r="C16" s="7" t="s">
        <v>18</v>
      </c>
      <c r="D16" s="9" t="s">
        <v>15</v>
      </c>
    </row>
    <row r="17" customFormat="false" ht="15" hidden="false" customHeight="false" outlineLevel="0" collapsed="false">
      <c r="A17" s="7" t="s">
        <v>16</v>
      </c>
      <c r="B17" s="13" t="n">
        <f aca="false">B14-B15</f>
        <v>46000</v>
      </c>
      <c r="C17" s="7" t="s">
        <v>22</v>
      </c>
      <c r="D17" s="9" t="s">
        <v>15</v>
      </c>
    </row>
    <row r="18" customFormat="false" ht="15" hidden="false" customHeight="false" outlineLevel="0" collapsed="false">
      <c r="A18" s="5" t="s">
        <v>25</v>
      </c>
      <c r="B18" s="6"/>
      <c r="C18" s="6"/>
      <c r="D18" s="6"/>
    </row>
    <row r="19" customFormat="false" ht="15" hidden="false" customHeight="false" outlineLevel="0" collapsed="false">
      <c r="A19" s="7" t="s">
        <v>26</v>
      </c>
      <c r="B19" s="12" t="n">
        <v>243000</v>
      </c>
      <c r="C19" s="7" t="s">
        <v>27</v>
      </c>
      <c r="D19" s="9" t="s">
        <v>12</v>
      </c>
    </row>
    <row r="20" customFormat="false" ht="15" hidden="false" customHeight="false" outlineLevel="0" collapsed="false">
      <c r="A20" s="7" t="s">
        <v>28</v>
      </c>
      <c r="B20" s="14" t="n">
        <f aca="false">B19/B15</f>
        <v>4.5</v>
      </c>
      <c r="C20" s="7" t="s">
        <v>27</v>
      </c>
      <c r="D20" s="9" t="s">
        <v>15</v>
      </c>
    </row>
    <row r="21" customFormat="false" ht="15" hidden="false" customHeight="false" outlineLevel="0" collapsed="false">
      <c r="A21" s="5" t="s">
        <v>29</v>
      </c>
      <c r="B21" s="6"/>
      <c r="C21" s="6"/>
      <c r="D21" s="6"/>
    </row>
    <row r="22" customFormat="false" ht="15" hidden="false" customHeight="false" outlineLevel="0" collapsed="false">
      <c r="A22" s="7" t="s">
        <v>21</v>
      </c>
      <c r="B22" s="12" t="n">
        <v>20</v>
      </c>
      <c r="C22" s="7" t="s">
        <v>30</v>
      </c>
      <c r="D22" s="9" t="s">
        <v>12</v>
      </c>
    </row>
    <row r="23" customFormat="false" ht="15" hidden="false" customHeight="false" outlineLevel="0" collapsed="false">
      <c r="A23" s="7" t="s">
        <v>31</v>
      </c>
      <c r="B23" s="12" t="n">
        <v>14</v>
      </c>
      <c r="C23" s="7" t="s">
        <v>30</v>
      </c>
      <c r="D23" s="9" t="s">
        <v>12</v>
      </c>
    </row>
    <row r="24" customFormat="false" ht="15" hidden="false" customHeight="false" outlineLevel="0" collapsed="false">
      <c r="A24" s="7" t="s">
        <v>32</v>
      </c>
      <c r="B24" s="11" t="n">
        <f aca="false">B23/B22</f>
        <v>0.7</v>
      </c>
      <c r="C24" s="7" t="s">
        <v>18</v>
      </c>
      <c r="D24" s="9" t="s">
        <v>15</v>
      </c>
    </row>
    <row r="25" customFormat="false" ht="15" hidden="false" customHeight="false" outlineLevel="0" collapsed="false">
      <c r="A25" s="5" t="s">
        <v>33</v>
      </c>
      <c r="B25" s="6"/>
      <c r="C25" s="6"/>
      <c r="D25" s="6"/>
    </row>
    <row r="26" customFormat="false" ht="15" hidden="false" customHeight="false" outlineLevel="0" collapsed="false">
      <c r="A26" s="7" t="s">
        <v>34</v>
      </c>
      <c r="B26" s="12" t="n">
        <v>850</v>
      </c>
      <c r="C26" s="7" t="s">
        <v>35</v>
      </c>
      <c r="D26" s="9" t="s">
        <v>12</v>
      </c>
    </row>
    <row r="27" customFormat="false" ht="15" hidden="false" customHeight="false" outlineLevel="0" collapsed="false">
      <c r="A27" s="7" t="s">
        <v>36</v>
      </c>
      <c r="B27" s="12" t="n">
        <v>612</v>
      </c>
      <c r="C27" s="7" t="s">
        <v>35</v>
      </c>
      <c r="D27" s="9" t="s">
        <v>12</v>
      </c>
    </row>
    <row r="28" customFormat="false" ht="15" hidden="false" customHeight="false" outlineLevel="0" collapsed="false">
      <c r="A28" s="7" t="s">
        <v>37</v>
      </c>
      <c r="B28" s="11" t="n">
        <f aca="false">B27/B26</f>
        <v>0.72</v>
      </c>
      <c r="C28" s="7" t="s">
        <v>18</v>
      </c>
      <c r="D28" s="9" t="s">
        <v>15</v>
      </c>
    </row>
    <row r="29" customFormat="false" ht="15" hidden="false" customHeight="false" outlineLevel="0" collapsed="false">
      <c r="A29" s="7" t="s">
        <v>38</v>
      </c>
      <c r="B29" s="13" t="n">
        <f aca="false">B26-B27</f>
        <v>238</v>
      </c>
      <c r="C29" s="7" t="s">
        <v>35</v>
      </c>
      <c r="D29" s="9" t="s">
        <v>15</v>
      </c>
    </row>
    <row r="30" customFormat="false" ht="15" hidden="false" customHeight="false" outlineLevel="0" collapsed="false">
      <c r="A30" s="5" t="s">
        <v>39</v>
      </c>
      <c r="B30" s="6"/>
      <c r="C30" s="6"/>
      <c r="D30" s="6"/>
    </row>
    <row r="31" customFormat="false" ht="15" hidden="false" customHeight="false" outlineLevel="0" collapsed="false">
      <c r="A31" s="7" t="s">
        <v>40</v>
      </c>
      <c r="B31" s="15" t="n">
        <v>0.64</v>
      </c>
      <c r="C31" s="7" t="s">
        <v>18</v>
      </c>
      <c r="D31" s="9" t="s">
        <v>12</v>
      </c>
    </row>
    <row r="32" customFormat="false" ht="15" hidden="false" customHeight="false" outlineLevel="0" collapsed="false">
      <c r="A32" s="7" t="s">
        <v>41</v>
      </c>
      <c r="B32" s="15" t="n">
        <v>0.72</v>
      </c>
      <c r="C32" s="7" t="s">
        <v>18</v>
      </c>
      <c r="D32" s="9" t="s">
        <v>12</v>
      </c>
    </row>
    <row r="33" customFormat="false" ht="15" hidden="false" customHeight="false" outlineLevel="0" collapsed="false">
      <c r="A33" s="7" t="s">
        <v>42</v>
      </c>
      <c r="B33" s="16" t="n">
        <f aca="false">B31-B32</f>
        <v>-0.08</v>
      </c>
      <c r="C33" s="7" t="s">
        <v>43</v>
      </c>
      <c r="D33" s="9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</row>
    <row r="4" customFormat="false" ht="26.85" hidden="false" customHeight="false" outlineLevel="0" collapsed="false">
      <c r="A4" s="17" t="s">
        <v>52</v>
      </c>
      <c r="B4" s="18" t="n">
        <v>0.92</v>
      </c>
      <c r="C4" s="17" t="s">
        <v>53</v>
      </c>
      <c r="D4" s="17" t="s">
        <v>54</v>
      </c>
      <c r="E4" s="17" t="s">
        <v>55</v>
      </c>
      <c r="F4" s="17" t="s">
        <v>56</v>
      </c>
    </row>
    <row r="6" customFormat="false" ht="15" hidden="false" customHeight="false" outlineLevel="0" collapsed="false">
      <c r="A6" s="19" t="s">
        <v>57</v>
      </c>
    </row>
    <row r="7" customFormat="false" ht="15" hidden="false" customHeight="false" outlineLevel="0" collapsed="false">
      <c r="A7" s="2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2026-09-29T23:55:57Z</dcterms:created>
  <dc:creator>openpyxl</dc:creator>
  <dc:description/>
  <dc:language>en-US</dc:language>
  <cp:lastModifiedBy/>
  <dcterms:modified xsi:type="dcterms:W3CDTF">2026-09-29T23:55:57Z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