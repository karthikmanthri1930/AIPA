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 Report" sheetId="1" state="visible" r:id="rId3"/>
    <sheet name="Evidence Associ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<sst xmlns="http://schemas.openxmlformats.org/spreadsheetml/2006/main" count="87" uniqueCount="60">
  <si>
    <t xml:space="preserve">Contractor Monthly Progress Statement</t>
  </si>
  <si>
    <t xml:space="preserve">Project: Hyderabad Urban Water Expansion – Phase II | Month: August 2026</t>
  </si>
  <si>
    <t xml:space="preserve">Blue = value taken from the source document; Black = calculated by formula.</t>
  </si>
  <si>
    <t xml:space="preserve">Metric</t>
  </si>
  <si>
    <t xml:space="preserve">Value</t>
  </si>
  <si>
    <t xml:space="preserve">Unit</t>
  </si>
  <si>
    <t xml:space="preserve">Remarks / Basis</t>
  </si>
  <si>
    <t xml:space="preserve">Pipeline laying (contractor-reported)</t>
  </si>
  <si>
    <t xml:space="preserve">Cumulative pipeline completion</t>
  </si>
  <si>
    <t xml:space="preserve">km</t>
  </si>
  <si>
    <t xml:space="preserve">Contractor statement</t>
  </si>
  <si>
    <t xml:space="preserve">Claimed this month</t>
  </si>
  <si>
    <t xml:space="preserve">Implied cumulative at start of month</t>
  </si>
  <si>
    <t xml:space="preserve">Calculated; matches 301 km in Monitoring Cell report</t>
  </si>
  <si>
    <t xml:space="preserve">Contracted target</t>
  </si>
  <si>
    <t xml:space="preserve">Assumption: from Report 1</t>
  </si>
  <si>
    <t xml:space="preserve">% of contracted target</t>
  </si>
  <si>
    <t xml:space="preserve">%</t>
  </si>
  <si>
    <t xml:space="preserve">Calculated</t>
  </si>
  <si>
    <t xml:space="preserve">Household connections &amp; milestones</t>
  </si>
  <si>
    <t xml:space="preserve">Household connections</t>
  </si>
  <si>
    <t xml:space="preserve">households</t>
  </si>
  <si>
    <t xml:space="preserve">Household target</t>
  </si>
  <si>
    <t xml:space="preserve">% of household target</t>
  </si>
  <si>
    <t xml:space="preserve">Milestones completed</t>
  </si>
  <si>
    <t xml:space="preserve">milestones</t>
  </si>
  <si>
    <t xml:space="preserve">Milestones total</t>
  </si>
  <si>
    <t xml:space="preserve">% milestones completed</t>
  </si>
  <si>
    <t xml:space="preserve">Progress &amp; finance</t>
  </si>
  <si>
    <t xml:space="preserve">Physical execution (contractor-reported)</t>
  </si>
  <si>
    <t xml:space="preserve">Financial utilisation (reported)</t>
  </si>
  <si>
    <t xml:space="preserve">Approved cost</t>
  </si>
  <si>
    <t xml:space="preserve">₹ crore</t>
  </si>
  <si>
    <t xml:space="preserve">Expenditure</t>
  </si>
  <si>
    <t xml:space="preserve">Financial utilisation (calculated)</t>
  </si>
  <si>
    <t xml:space="preserve">Cross-check of reported 72%</t>
  </si>
  <si>
    <t xml:space="preserve">Cross-check against Monitoring Cell report (Report 1)</t>
  </si>
  <si>
    <t xml:space="preserve">Monitoring Cell pipeline figure</t>
  </si>
  <si>
    <t xml:space="preserve">Cross-reference to Report 1</t>
  </si>
  <si>
    <t xml:space="preserve">Contractor claim above Monitoring Cell</t>
  </si>
  <si>
    <t xml:space="preserve">Claim exceeds official figure</t>
  </si>
  <si>
    <t xml:space="preserve">Monitoring Cell household figure</t>
  </si>
  <si>
    <t xml:space="preserve">Contractor figure vs Monitoring Cell</t>
  </si>
  <si>
    <t xml:space="preserve">Contractor reports fewer connections</t>
  </si>
  <si>
    <t xml:space="preserve">Evidence Association</t>
  </si>
  <si>
    <t xml:space="preserve">Associated indicator</t>
  </si>
  <si>
    <t xml:space="preserve">Confidence</t>
  </si>
  <si>
    <t xml:space="preserve">Evidence type</t>
  </si>
  <si>
    <t xml:space="preserve">Source document</t>
  </si>
  <si>
    <t xml:space="preserve">Reported value</t>
  </si>
  <si>
    <t xml:space="preserve">Notes</t>
  </si>
  <si>
    <t xml:space="preserve">Pipeline network completed</t>
  </si>
  <si>
    <t xml:space="preserve">document</t>
  </si>
  <si>
    <t xml:space="preserve">Contractor Monthly Progress Statement, Aug 2026</t>
  </si>
  <si>
    <t xml:space="preserve">326 km</t>
  </si>
  <si>
    <t xml:space="preserve">Contractor self-reported; claim is 8 km above the Monitoring Cell figure and 16 km above the field-verified figure.</t>
  </si>
  <si>
    <t xml:space="preserve">Notes &amp; assumptions</t>
  </si>
  <si>
    <t xml:space="preserve">1. Confidence and evidence type supplied by user (78, document).</t>
  </si>
  <si>
    <t xml:space="preserve">2. Assumption: 500 km contracted target taken from the Monitoring Cell report (Report 1).</t>
  </si>
  <si>
    <t xml:space="preserve">3. Assumption: 100,000-household target taken from the Monitoring Cell report (Report 1).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</si>
</sst>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km&quot;"/>
    <numFmt numFmtId="166" formatCode="0.0%"/>
    <numFmt numFmtId="167" formatCode="#,##0"/>
    <numFmt numFmtId="168" formatCode="0%"/>
    <numFmt numFmtId="169" formatCode="\+#,##0;\-#,##0;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6"/>
      <c r="D6" s="6"/>
    </row>
    <row r="7" customFormat="false" ht="15" hidden="false" customHeight="false" outlineLevel="0" collapsed="false">
      <c r="A7" s="7" t="s">
        <v>8</v>
      </c>
      <c r="B7" s="8" t="n">
        <v>326</v>
      </c>
      <c r="C7" s="7" t="s">
        <v>9</v>
      </c>
      <c r="D7" s="9" t="s">
        <v>10</v>
      </c>
    </row>
    <row r="8" customFormat="false" ht="15" hidden="false" customHeight="false" outlineLevel="0" collapsed="false">
      <c r="A8" s="7" t="s">
        <v>11</v>
      </c>
      <c r="B8" s="8" t="n">
        <v>25</v>
      </c>
      <c r="C8" s="7" t="s">
        <v>9</v>
      </c>
      <c r="D8" s="9" t="s">
        <v>10</v>
      </c>
    </row>
    <row r="9" customFormat="false" ht="15" hidden="false" customHeight="false" outlineLevel="0" collapsed="false">
      <c r="A9" s="7" t="s">
        <v>12</v>
      </c>
      <c r="B9" s="10" t="n">
        <f aca="false">B7-B8</f>
        <v>301</v>
      </c>
      <c r="C9" s="7" t="s">
        <v>9</v>
      </c>
      <c r="D9" s="9" t="s">
        <v>13</v>
      </c>
    </row>
    <row r="10" customFormat="false" ht="15" hidden="false" customHeight="false" outlineLevel="0" collapsed="false">
      <c r="A10" s="7" t="s">
        <v>14</v>
      </c>
      <c r="B10" s="8" t="n">
        <v>500</v>
      </c>
      <c r="C10" s="7" t="s">
        <v>9</v>
      </c>
      <c r="D10" s="9" t="s">
        <v>15</v>
      </c>
    </row>
    <row r="11" customFormat="false" ht="15" hidden="false" customHeight="false" outlineLevel="0" collapsed="false">
      <c r="A11" s="7" t="s">
        <v>16</v>
      </c>
      <c r="B11" s="11" t="n">
        <f aca="false">B7/B10</f>
        <v>0.652</v>
      </c>
      <c r="C11" s="7" t="s">
        <v>17</v>
      </c>
      <c r="D11" s="9" t="s">
        <v>18</v>
      </c>
    </row>
    <row r="12" customFormat="false" ht="15" hidden="false" customHeight="false" outlineLevel="0" collapsed="false">
      <c r="A12" s="5" t="s">
        <v>19</v>
      </c>
      <c r="B12" s="6"/>
      <c r="C12" s="6"/>
      <c r="D12" s="6"/>
    </row>
    <row r="13" customFormat="false" ht="15" hidden="false" customHeight="false" outlineLevel="0" collapsed="false">
      <c r="A13" s="7" t="s">
        <v>20</v>
      </c>
      <c r="B13" s="12" t="n">
        <v>51800</v>
      </c>
      <c r="C13" s="7" t="s">
        <v>21</v>
      </c>
      <c r="D13" s="9" t="s">
        <v>10</v>
      </c>
    </row>
    <row r="14" customFormat="false" ht="15" hidden="false" customHeight="false" outlineLevel="0" collapsed="false">
      <c r="A14" s="7" t="s">
        <v>22</v>
      </c>
      <c r="B14" s="12" t="n">
        <v>100000</v>
      </c>
      <c r="C14" s="7" t="s">
        <v>21</v>
      </c>
      <c r="D14" s="9" t="s">
        <v>15</v>
      </c>
    </row>
    <row r="15" customFormat="false" ht="15" hidden="false" customHeight="false" outlineLevel="0" collapsed="false">
      <c r="A15" s="7" t="s">
        <v>23</v>
      </c>
      <c r="B15" s="11" t="n">
        <f aca="false">B13/B14</f>
        <v>0.518</v>
      </c>
      <c r="C15" s="7" t="s">
        <v>17</v>
      </c>
      <c r="D15" s="9" t="s">
        <v>18</v>
      </c>
    </row>
    <row r="16" customFormat="false" ht="15" hidden="false" customHeight="false" outlineLevel="0" collapsed="false">
      <c r="A16" s="7" t="s">
        <v>24</v>
      </c>
      <c r="B16" s="12" t="n">
        <v>14</v>
      </c>
      <c r="C16" s="7" t="s">
        <v>25</v>
      </c>
      <c r="D16" s="9" t="s">
        <v>10</v>
      </c>
    </row>
    <row r="17" customFormat="false" ht="15" hidden="false" customHeight="false" outlineLevel="0" collapsed="false">
      <c r="A17" s="7" t="s">
        <v>26</v>
      </c>
      <c r="B17" s="12" t="n">
        <v>20</v>
      </c>
      <c r="C17" s="7" t="s">
        <v>25</v>
      </c>
      <c r="D17" s="9" t="s">
        <v>10</v>
      </c>
    </row>
    <row r="18" customFormat="false" ht="15" hidden="false" customHeight="false" outlineLevel="0" collapsed="false">
      <c r="A18" s="7" t="s">
        <v>27</v>
      </c>
      <c r="B18" s="11" t="n">
        <f aca="false">B16/B17</f>
        <v>0.7</v>
      </c>
      <c r="C18" s="7" t="s">
        <v>17</v>
      </c>
      <c r="D18" s="9" t="s">
        <v>18</v>
      </c>
    </row>
    <row r="19" customFormat="false" ht="15" hidden="false" customHeight="false" outlineLevel="0" collapsed="false">
      <c r="A19" s="5" t="s">
        <v>28</v>
      </c>
      <c r="B19" s="6"/>
      <c r="C19" s="6"/>
      <c r="D19" s="6"/>
    </row>
    <row r="20" customFormat="false" ht="15" hidden="false" customHeight="false" outlineLevel="0" collapsed="false">
      <c r="A20" s="7" t="s">
        <v>29</v>
      </c>
      <c r="B20" s="13" t="n">
        <v>0.66</v>
      </c>
      <c r="C20" s="7" t="s">
        <v>17</v>
      </c>
      <c r="D20" s="9" t="s">
        <v>10</v>
      </c>
    </row>
    <row r="21" customFormat="false" ht="15" hidden="false" customHeight="false" outlineLevel="0" collapsed="false">
      <c r="A21" s="7" t="s">
        <v>30</v>
      </c>
      <c r="B21" s="13" t="n">
        <v>0.72</v>
      </c>
      <c r="C21" s="7" t="s">
        <v>17</v>
      </c>
      <c r="D21" s="9" t="s">
        <v>10</v>
      </c>
    </row>
    <row r="22" customFormat="false" ht="15" hidden="false" customHeight="false" outlineLevel="0" collapsed="false">
      <c r="A22" s="7" t="s">
        <v>31</v>
      </c>
      <c r="B22" s="12" t="n">
        <v>850</v>
      </c>
      <c r="C22" s="7" t="s">
        <v>32</v>
      </c>
      <c r="D22" s="9" t="s">
        <v>10</v>
      </c>
    </row>
    <row r="23" customFormat="false" ht="15" hidden="false" customHeight="false" outlineLevel="0" collapsed="false">
      <c r="A23" s="7" t="s">
        <v>33</v>
      </c>
      <c r="B23" s="12" t="n">
        <v>612</v>
      </c>
      <c r="C23" s="7" t="s">
        <v>32</v>
      </c>
      <c r="D23" s="9" t="s">
        <v>10</v>
      </c>
    </row>
    <row r="24" customFormat="false" ht="15" hidden="false" customHeight="false" outlineLevel="0" collapsed="false">
      <c r="A24" s="7" t="s">
        <v>34</v>
      </c>
      <c r="B24" s="11" t="n">
        <f aca="false">B23/B22</f>
        <v>0.72</v>
      </c>
      <c r="C24" s="7" t="s">
        <v>17</v>
      </c>
      <c r="D24" s="9" t="s">
        <v>35</v>
      </c>
    </row>
    <row r="25" customFormat="false" ht="15" hidden="false" customHeight="false" outlineLevel="0" collapsed="false">
      <c r="A25" s="5" t="s">
        <v>36</v>
      </c>
      <c r="B25" s="6"/>
      <c r="C25" s="6"/>
      <c r="D25" s="6"/>
    </row>
    <row r="26" customFormat="false" ht="15" hidden="false" customHeight="false" outlineLevel="0" collapsed="false">
      <c r="A26" s="7" t="s">
        <v>37</v>
      </c>
      <c r="B26" s="8" t="n">
        <v>318</v>
      </c>
      <c r="C26" s="7" t="s">
        <v>9</v>
      </c>
      <c r="D26" s="9" t="s">
        <v>38</v>
      </c>
    </row>
    <row r="27" customFormat="false" ht="15" hidden="false" customHeight="false" outlineLevel="0" collapsed="false">
      <c r="A27" s="7" t="s">
        <v>39</v>
      </c>
      <c r="B27" s="14" t="n">
        <f aca="false">B7-B26</f>
        <v>8</v>
      </c>
      <c r="C27" s="7" t="s">
        <v>9</v>
      </c>
      <c r="D27" s="9" t="s">
        <v>40</v>
      </c>
    </row>
    <row r="28" customFormat="false" ht="15" hidden="false" customHeight="false" outlineLevel="0" collapsed="false">
      <c r="A28" s="7" t="s">
        <v>41</v>
      </c>
      <c r="B28" s="12" t="n">
        <v>54000</v>
      </c>
      <c r="C28" s="7" t="s">
        <v>21</v>
      </c>
      <c r="D28" s="9" t="s">
        <v>38</v>
      </c>
    </row>
    <row r="29" customFormat="false" ht="15" hidden="false" customHeight="false" outlineLevel="0" collapsed="false">
      <c r="A29" s="7" t="s">
        <v>42</v>
      </c>
      <c r="B29" s="14" t="n">
        <f aca="false">B13-B28</f>
        <v>-2200</v>
      </c>
      <c r="C29" s="7" t="s">
        <v>21</v>
      </c>
      <c r="D29" s="9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</row>
    <row r="4" customFormat="false" ht="26.85" hidden="false" customHeight="false" outlineLevel="0" collapsed="false">
      <c r="A4" s="15" t="s">
        <v>51</v>
      </c>
      <c r="B4" s="16" t="n">
        <v>0.78</v>
      </c>
      <c r="C4" s="15" t="s">
        <v>52</v>
      </c>
      <c r="D4" s="15" t="s">
        <v>53</v>
      </c>
      <c r="E4" s="15" t="s">
        <v>54</v>
      </c>
      <c r="F4" s="15" t="s">
        <v>55</v>
      </c>
    </row>
    <row r="6" customFormat="false" ht="15" hidden="false" customHeight="false" outlineLevel="0" collapsed="false">
      <c r="A6" s="17" t="s">
        <v>56</v>
      </c>
    </row>
    <row r="7" customFormat="false" ht="15" hidden="false" customHeight="false" outlineLevel="0" collapsed="false">
      <c r="A7" s="18" t="s">
        <v>57</v>
      </c>
    </row>
    <row r="8" customFormat="false" ht="15" hidden="false" customHeight="false" outlineLevel="0" collapsed="false">
      <c r="A8" s="18" t="s">
        <v>58</v>
      </c>
    </row>
    <row r="9" customFormat="false" ht="15" hidden="false" customHeight="false" outlineLevel="0" collapsed="false">
      <c r="A9" s="1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2026-09-29T23:55:57Z</dcterms:created>
  <dc:creator>openpyxl</dc:creator>
  <dc:description/>
  <dc:language>en-US</dc:language>
  <cp:lastModifiedBy/>
  <dcterms:modified xsi:type="dcterms:W3CDTF">2026-09-29T23:55:57Z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