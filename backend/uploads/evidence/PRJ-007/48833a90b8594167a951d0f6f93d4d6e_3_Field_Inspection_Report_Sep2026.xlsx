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 Report" sheetId="1" state="visible" r:id="rId3"/>
    <sheet name="Evidence Associ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<sst xmlns="http://schemas.openxmlformats.org/spreadsheetml/2006/main" count="75" uniqueCount="60">
  <si>
    <t xml:space="preserve">Field Inspection Report</t>
  </si>
  <si>
    <t xml:space="preserve">Project: Hyderabad Urban Water Expansion – Phase II | Inspection date: 10 September 2026 | By: Independent Field Monitoring Team</t>
  </si>
  <si>
    <t xml:space="preserve">Blue = value taken from the source document; Black = calculated by formula.</t>
  </si>
  <si>
    <t xml:space="preserve">Metric</t>
  </si>
  <si>
    <t xml:space="preserve">Value</t>
  </si>
  <si>
    <t xml:space="preserve">Unit</t>
  </si>
  <si>
    <t xml:space="preserve">Remarks / Basis</t>
  </si>
  <si>
    <t xml:space="preserve">Inspection scope</t>
  </si>
  <si>
    <t xml:space="preserve">Active construction zones covered</t>
  </si>
  <si>
    <t xml:space="preserve">zones</t>
  </si>
  <si>
    <t xml:space="preserve">Inspection note</t>
  </si>
  <si>
    <t xml:space="preserve">Physically verified quantities</t>
  </si>
  <si>
    <t xml:space="preserve">Pipeline network physically observed</t>
  </si>
  <si>
    <t xml:space="preserve">km</t>
  </si>
  <si>
    <t xml:space="preserve">Household connections physically verified</t>
  </si>
  <si>
    <t xml:space="preserve">households</t>
  </si>
  <si>
    <t xml:space="preserve">Contracted target</t>
  </si>
  <si>
    <t xml:space="preserve">Assumption: from Report 1</t>
  </si>
  <si>
    <t xml:space="preserve">Verified pipeline as % of target</t>
  </si>
  <si>
    <t xml:space="preserve">%</t>
  </si>
  <si>
    <t xml:space="preserve">Calculated</t>
  </si>
  <si>
    <t xml:space="preserve">Household target</t>
  </si>
  <si>
    <t xml:space="preserve">Verified connections as % of target</t>
  </si>
  <si>
    <t xml:space="preserve">Variance vs other sources</t>
  </si>
  <si>
    <t xml:space="preserve">Monitoring Cell pipeline figure</t>
  </si>
  <si>
    <t xml:space="preserve">Cross-reference to Report 1</t>
  </si>
  <si>
    <t xml:space="preserve">Field vs Monitoring Cell</t>
  </si>
  <si>
    <t xml:space="preserve">Negative = field verified less than reported</t>
  </si>
  <si>
    <t xml:space="preserve">Contractor pipeline claim</t>
  </si>
  <si>
    <t xml:space="preserve">Cross-reference to Report 2</t>
  </si>
  <si>
    <t xml:space="preserve">Field vs Contractor</t>
  </si>
  <si>
    <t xml:space="preserve">Negative = field verified less than claimed</t>
  </si>
  <si>
    <t xml:space="preserve">Field as % of Contractor claim</t>
  </si>
  <si>
    <t xml:space="preserve">Inspector findings</t>
  </si>
  <si>
    <t xml:space="preserve">Commissioning status</t>
  </si>
  <si>
    <t xml:space="preserve">Partial</t>
  </si>
  <si>
    <t xml:space="preserve">Several recently reported sections not yet fully commissioned</t>
  </si>
  <si>
    <t xml:space="preserve">Construction activity</t>
  </si>
  <si>
    <t xml:space="preserve">Active</t>
  </si>
  <si>
    <t xml:space="preserve">Work continuing in all inspected zones</t>
  </si>
  <si>
    <t xml:space="preserve">Quality</t>
  </si>
  <si>
    <t xml:space="preserve">Checks needed</t>
  </si>
  <si>
    <t xml:space="preserve">Some sections require additional quality checks</t>
  </si>
  <si>
    <t xml:space="preserve">Inspector confidence</t>
  </si>
  <si>
    <t xml:space="preserve">Evidence Association</t>
  </si>
  <si>
    <t xml:space="preserve">Associated indicator</t>
  </si>
  <si>
    <t xml:space="preserve">Confidence</t>
  </si>
  <si>
    <t xml:space="preserve">Evidence type</t>
  </si>
  <si>
    <t xml:space="preserve">Source document</t>
  </si>
  <si>
    <t xml:space="preserve">Reported value</t>
  </si>
  <si>
    <t xml:space="preserve">Notes</t>
  </si>
  <si>
    <t xml:space="preserve">Pipeline network completed</t>
  </si>
  <si>
    <t xml:space="preserve">field_update</t>
  </si>
  <si>
    <t xml:space="preserve">Field Inspection Note, 10 Sep 2026 (Independent Field Monitoring Team)</t>
  </si>
  <si>
    <t xml:space="preserve">310 km</t>
  </si>
  <si>
    <t xml:space="preserve">Physically observed; lowest pipeline figure of the sources, likely because uncommissioned sections were excluded.</t>
  </si>
  <si>
    <t xml:space="preserve">Notes &amp; assumptions</t>
  </si>
  <si>
    <t xml:space="preserve">1. Confidence and evidence type supplied by user (86, field_update).</t>
  </si>
  <si>
    <t xml:space="preserve">2. Assumption: 500 km contracted target taken from the Monitoring Cell report (Report 1).</t>
  </si>
  <si>
    <t xml:space="preserve">3. Assumption: 100,000-household target taken from the Monitoring Cell report (Report 1).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</si>
</sst>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&quot; km&quot;"/>
    <numFmt numFmtId="167" formatCode="0.0%"/>
    <numFmt numFmtId="168" formatCode="\+#,##0;\-#,##0;0"/>
    <numFmt numFmtId="169" formatCode="@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/>
      <c r="C6" s="6"/>
      <c r="D6" s="6"/>
    </row>
    <row r="7" customFormat="false" ht="15" hidden="false" customHeight="false" outlineLevel="0" collapsed="false">
      <c r="A7" s="7" t="s">
        <v>8</v>
      </c>
      <c r="B7" s="8" t="n">
        <v>3</v>
      </c>
      <c r="C7" s="7" t="s">
        <v>9</v>
      </c>
      <c r="D7" s="9" t="s">
        <v>10</v>
      </c>
    </row>
    <row r="8" customFormat="false" ht="15" hidden="false" customHeight="false" outlineLevel="0" collapsed="false">
      <c r="A8" s="5" t="s">
        <v>11</v>
      </c>
      <c r="B8" s="6"/>
      <c r="C8" s="6"/>
      <c r="D8" s="6"/>
    </row>
    <row r="9" customFormat="false" ht="15" hidden="false" customHeight="false" outlineLevel="0" collapsed="false">
      <c r="A9" s="7" t="s">
        <v>12</v>
      </c>
      <c r="B9" s="10" t="n">
        <v>310</v>
      </c>
      <c r="C9" s="7" t="s">
        <v>13</v>
      </c>
      <c r="D9" s="9" t="s">
        <v>10</v>
      </c>
    </row>
    <row r="10" customFormat="false" ht="15" hidden="false" customHeight="false" outlineLevel="0" collapsed="false">
      <c r="A10" s="7" t="s">
        <v>14</v>
      </c>
      <c r="B10" s="8" t="n">
        <v>49600</v>
      </c>
      <c r="C10" s="7" t="s">
        <v>15</v>
      </c>
      <c r="D10" s="9" t="s">
        <v>10</v>
      </c>
    </row>
    <row r="11" customFormat="false" ht="15" hidden="false" customHeight="false" outlineLevel="0" collapsed="false">
      <c r="A11" s="7" t="s">
        <v>16</v>
      </c>
      <c r="B11" s="10" t="n">
        <v>500</v>
      </c>
      <c r="C11" s="7" t="s">
        <v>13</v>
      </c>
      <c r="D11" s="9" t="s">
        <v>17</v>
      </c>
    </row>
    <row r="12" customFormat="false" ht="15" hidden="false" customHeight="false" outlineLevel="0" collapsed="false">
      <c r="A12" s="7" t="s">
        <v>18</v>
      </c>
      <c r="B12" s="11" t="n">
        <f aca="false">B9/B11</f>
        <v>0.62</v>
      </c>
      <c r="C12" s="7" t="s">
        <v>19</v>
      </c>
      <c r="D12" s="9" t="s">
        <v>20</v>
      </c>
    </row>
    <row r="13" customFormat="false" ht="15" hidden="false" customHeight="false" outlineLevel="0" collapsed="false">
      <c r="A13" s="7" t="s">
        <v>21</v>
      </c>
      <c r="B13" s="8" t="n">
        <v>100000</v>
      </c>
      <c r="C13" s="7" t="s">
        <v>15</v>
      </c>
      <c r="D13" s="9" t="s">
        <v>17</v>
      </c>
    </row>
    <row r="14" customFormat="false" ht="15" hidden="false" customHeight="false" outlineLevel="0" collapsed="false">
      <c r="A14" s="7" t="s">
        <v>22</v>
      </c>
      <c r="B14" s="11" t="n">
        <f aca="false">B10/B13</f>
        <v>0.496</v>
      </c>
      <c r="C14" s="7" t="s">
        <v>19</v>
      </c>
      <c r="D14" s="9" t="s">
        <v>20</v>
      </c>
    </row>
    <row r="15" customFormat="false" ht="15" hidden="false" customHeight="false" outlineLevel="0" collapsed="false">
      <c r="A15" s="5" t="s">
        <v>23</v>
      </c>
      <c r="B15" s="6"/>
      <c r="C15" s="6"/>
      <c r="D15" s="6"/>
    </row>
    <row r="16" customFormat="false" ht="15" hidden="false" customHeight="false" outlineLevel="0" collapsed="false">
      <c r="A16" s="7" t="s">
        <v>24</v>
      </c>
      <c r="B16" s="10" t="n">
        <v>318</v>
      </c>
      <c r="C16" s="7" t="s">
        <v>13</v>
      </c>
      <c r="D16" s="9" t="s">
        <v>25</v>
      </c>
    </row>
    <row r="17" customFormat="false" ht="15" hidden="false" customHeight="false" outlineLevel="0" collapsed="false">
      <c r="A17" s="7" t="s">
        <v>26</v>
      </c>
      <c r="B17" s="12" t="n">
        <f aca="false">B9-B16</f>
        <v>-8</v>
      </c>
      <c r="C17" s="7" t="s">
        <v>13</v>
      </c>
      <c r="D17" s="9" t="s">
        <v>27</v>
      </c>
    </row>
    <row r="18" customFormat="false" ht="15" hidden="false" customHeight="false" outlineLevel="0" collapsed="false">
      <c r="A18" s="7" t="s">
        <v>28</v>
      </c>
      <c r="B18" s="10" t="n">
        <v>326</v>
      </c>
      <c r="C18" s="7" t="s">
        <v>13</v>
      </c>
      <c r="D18" s="9" t="s">
        <v>29</v>
      </c>
    </row>
    <row r="19" customFormat="false" ht="15" hidden="false" customHeight="false" outlineLevel="0" collapsed="false">
      <c r="A19" s="7" t="s">
        <v>30</v>
      </c>
      <c r="B19" s="12" t="n">
        <f aca="false">B9-B18</f>
        <v>-16</v>
      </c>
      <c r="C19" s="7" t="s">
        <v>13</v>
      </c>
      <c r="D19" s="9" t="s">
        <v>31</v>
      </c>
    </row>
    <row r="20" customFormat="false" ht="15" hidden="false" customHeight="false" outlineLevel="0" collapsed="false">
      <c r="A20" s="7" t="s">
        <v>32</v>
      </c>
      <c r="B20" s="11" t="n">
        <f aca="false">B9/B18</f>
        <v>0.950920245398773</v>
      </c>
      <c r="C20" s="7" t="s">
        <v>19</v>
      </c>
      <c r="D20" s="9" t="s">
        <v>20</v>
      </c>
    </row>
    <row r="21" customFormat="false" ht="15" hidden="false" customHeight="false" outlineLevel="0" collapsed="false">
      <c r="A21" s="5" t="s">
        <v>33</v>
      </c>
      <c r="B21" s="6"/>
      <c r="C21" s="6"/>
      <c r="D21" s="6"/>
    </row>
    <row r="22" customFormat="false" ht="15" hidden="false" customHeight="false" outlineLevel="0" collapsed="false">
      <c r="A22" s="7" t="s">
        <v>34</v>
      </c>
      <c r="B22" s="13" t="s">
        <v>35</v>
      </c>
      <c r="C22" s="7"/>
      <c r="D22" s="9" t="s">
        <v>36</v>
      </c>
    </row>
    <row r="23" customFormat="false" ht="15" hidden="false" customHeight="false" outlineLevel="0" collapsed="false">
      <c r="A23" s="7" t="s">
        <v>37</v>
      </c>
      <c r="B23" s="13" t="s">
        <v>38</v>
      </c>
      <c r="C23" s="7"/>
      <c r="D23" s="9" t="s">
        <v>39</v>
      </c>
    </row>
    <row r="24" customFormat="false" ht="15" hidden="false" customHeight="false" outlineLevel="0" collapsed="false">
      <c r="A24" s="7" t="s">
        <v>40</v>
      </c>
      <c r="B24" s="13" t="s">
        <v>41</v>
      </c>
      <c r="C24" s="7"/>
      <c r="D24" s="9" t="s">
        <v>42</v>
      </c>
    </row>
    <row r="25" customFormat="false" ht="15" hidden="false" customHeight="false" outlineLevel="0" collapsed="false">
      <c r="A25" s="7" t="s">
        <v>43</v>
      </c>
      <c r="B25" s="14" t="n">
        <v>0.86</v>
      </c>
      <c r="C25" s="7" t="s">
        <v>19</v>
      </c>
      <c r="D25" s="9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44</v>
      </c>
    </row>
    <row r="3" customFormat="false" ht="15" hidden="false" customHeight="false" outlineLevel="0" collapsed="false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</row>
    <row r="4" customFormat="false" ht="26.85" hidden="false" customHeight="false" outlineLevel="0" collapsed="false">
      <c r="A4" s="15" t="s">
        <v>51</v>
      </c>
      <c r="B4" s="16" t="n">
        <v>0.86</v>
      </c>
      <c r="C4" s="15" t="s">
        <v>52</v>
      </c>
      <c r="D4" s="15" t="s">
        <v>53</v>
      </c>
      <c r="E4" s="15" t="s">
        <v>54</v>
      </c>
      <c r="F4" s="15" t="s">
        <v>55</v>
      </c>
    </row>
    <row r="6" customFormat="false" ht="15" hidden="false" customHeight="false" outlineLevel="0" collapsed="false">
      <c r="A6" s="17" t="s">
        <v>56</v>
      </c>
    </row>
    <row r="7" customFormat="false" ht="15" hidden="false" customHeight="false" outlineLevel="0" collapsed="false">
      <c r="A7" s="18" t="s">
        <v>57</v>
      </c>
    </row>
    <row r="8" customFormat="false" ht="15" hidden="false" customHeight="false" outlineLevel="0" collapsed="false">
      <c r="A8" s="18" t="s">
        <v>58</v>
      </c>
    </row>
    <row r="9" customFormat="false" ht="15" hidden="false" customHeight="false" outlineLevel="0" collapsed="false">
      <c r="A9" s="1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2026-09-29T23:55:57Z</dcterms:created>
  <dc:creator>openpyxl</dc:creator>
  <dc:description/>
  <dc:language>en-US</dc:language>
  <cp:lastModifiedBy/>
  <dcterms:modified xsi:type="dcterms:W3CDTF">2026-09-29T23:55:57Z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